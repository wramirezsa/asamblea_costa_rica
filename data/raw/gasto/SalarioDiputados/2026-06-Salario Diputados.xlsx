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erfiles\ragg\Downloads\Nueva carpeta\"/>
    </mc:Choice>
  </mc:AlternateContent>
  <xr:revisionPtr revIDLastSave="0" documentId="8_{89948C41-7D21-443C-8A18-DF2E7D92B8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ni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</calcChain>
</file>

<file path=xl/sharedStrings.xml><?xml version="1.0" encoding="utf-8"?>
<sst xmlns="http://schemas.openxmlformats.org/spreadsheetml/2006/main" count="180" uniqueCount="73">
  <si>
    <t>Fracción</t>
  </si>
  <si>
    <t>Mes</t>
  </si>
  <si>
    <t>Año</t>
  </si>
  <si>
    <t>Dieta</t>
  </si>
  <si>
    <t>Gastos de Representación</t>
  </si>
  <si>
    <t>Salario Bruto</t>
  </si>
  <si>
    <t>PLN</t>
  </si>
  <si>
    <t>PUSC</t>
  </si>
  <si>
    <t>Nombre Completo</t>
  </si>
  <si>
    <t>Clase de Puesto</t>
  </si>
  <si>
    <t>Diputada</t>
  </si>
  <si>
    <t>Diputado</t>
  </si>
  <si>
    <t>PFA</t>
  </si>
  <si>
    <r>
      <rPr>
        <b/>
        <i/>
        <sz val="10"/>
        <color theme="1"/>
        <rFont val="Century Gothic"/>
        <family val="2"/>
      </rPr>
      <t xml:space="preserve">Nota: </t>
    </r>
    <r>
      <rPr>
        <i/>
        <sz val="10"/>
        <color theme="1"/>
        <rFont val="Century Gothic"/>
        <family val="2"/>
      </rPr>
      <t xml:space="preserve"> no se incluyen los subsidios por Incapacidad, pues los mismos no son salario y están exentos de cargas sociales </t>
    </r>
  </si>
  <si>
    <t>Acosta Jaén Nogui</t>
  </si>
  <si>
    <t>Aguilar Vargas Ángela</t>
  </si>
  <si>
    <t>Alfaro Guerrero Iztarú</t>
  </si>
  <si>
    <t>Alfaro Jiménez Karen</t>
  </si>
  <si>
    <t>Araya Sibaja Edgardo</t>
  </si>
  <si>
    <t>Arias Mora Reynaldo</t>
  </si>
  <si>
    <t>Artavia Carballo Osvaldo</t>
  </si>
  <si>
    <t>Badilla Chavaría Marco</t>
  </si>
  <si>
    <t>Barzuna Thompson Antonio</t>
  </si>
  <si>
    <t>Blanco González Cindy María</t>
  </si>
  <si>
    <t>Britton González Esmeralda</t>
  </si>
  <si>
    <t>Brunner Neibig Stephan</t>
  </si>
  <si>
    <t>Calderón Calderón Jesús</t>
  </si>
  <si>
    <t>Camareno Camareno María Isabel</t>
  </si>
  <si>
    <t>Campos Villegas Ronald</t>
  </si>
  <si>
    <t>Dobles Camargo Claudia</t>
  </si>
  <si>
    <t>Esquivel Medrano Ana Ruth</t>
  </si>
  <si>
    <t>Esquivel Rodríguez Marta Eugenia</t>
  </si>
  <si>
    <t>Gordienko López Abril</t>
  </si>
  <si>
    <t>Guadamuz Rosales Nayuribe</t>
  </si>
  <si>
    <t>Hernández Ulloa Eder</t>
  </si>
  <si>
    <t>Hidalgo Solís Víctor</t>
  </si>
  <si>
    <t>Jiménez Cordero Wilson Alfredo</t>
  </si>
  <si>
    <t>Jiménez Fallas Yara</t>
  </si>
  <si>
    <t>Lobo Vargas Norjelens María</t>
  </si>
  <si>
    <t>Matamoros Montoya Karol Vanessa</t>
  </si>
  <si>
    <t>Mc Lean Villalobos Mangell</t>
  </si>
  <si>
    <t>Mora Fallas Ariel</t>
  </si>
  <si>
    <t>Mora Vega Vianey</t>
  </si>
  <si>
    <t>Müller Castro Anna Katharina</t>
  </si>
  <si>
    <t>Murillo Artavia Cindy</t>
  </si>
  <si>
    <t>Murillo Marín Zaira</t>
  </si>
  <si>
    <t>Murillo Murillo Diana</t>
  </si>
  <si>
    <t>Obaldía Álvarez Fernando</t>
  </si>
  <si>
    <t>Ortega Guzmán Mayuli</t>
  </si>
  <si>
    <t>Padilla Villanueva Salvador</t>
  </si>
  <si>
    <t>Quesada Espinoza Juan Manuel</t>
  </si>
  <si>
    <t>Ramírez Bogantes Álvaro</t>
  </si>
  <si>
    <t>Ramírez Zamora Gonzalo</t>
  </si>
  <si>
    <t>Román Mora María Eugenia</t>
  </si>
  <si>
    <t>Sandí Morales Janice</t>
  </si>
  <si>
    <t>Segura Artavia Sigrid</t>
  </si>
  <si>
    <t>Siézar Cárdenas Daniel</t>
  </si>
  <si>
    <t>Trejos Mazariegos Antonio</t>
  </si>
  <si>
    <t>Ulate Alvarado Kattia María</t>
  </si>
  <si>
    <t>Valverde Palavicini Andrea</t>
  </si>
  <si>
    <t>Vargas Brenes Rafael</t>
  </si>
  <si>
    <t>Villalobos Umaña José Miguel</t>
  </si>
  <si>
    <t>Ward Hudson Kristel</t>
  </si>
  <si>
    <t>PPSO</t>
  </si>
  <si>
    <t>PCAC</t>
  </si>
  <si>
    <t>Sáenz Núñez Joselyn</t>
  </si>
  <si>
    <t>Ávila Vargas Grethel María</t>
  </si>
  <si>
    <t xml:space="preserve">Barrantes Camacho Robert </t>
  </si>
  <si>
    <t>Bogantes Rivera Gerardo</t>
  </si>
  <si>
    <t>Calvo Cruz Kathia</t>
  </si>
  <si>
    <t>Mora Montoya Kattia</t>
  </si>
  <si>
    <t>Mora Ruiz Royner</t>
  </si>
  <si>
    <t>Villalta Florez-Estrada José María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</si>
</sst>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₡&quot;#,##0.00"/>
    <numFmt numFmtId="165" formatCode="&quot;₡&quot;#,##0.00;[Red]&quot;₡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i/>
      <sz val="10"/>
      <color theme="1"/>
      <name val="Century Gothic"/>
      <family val="2"/>
    </font>
    <font>
      <sz val="10"/>
      <color theme="1"/>
      <name val="Century Gothic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33" borderId="0" xfId="40" applyFont="1" applyFill="1"/>
    <xf numFmtId="0" fontId="19" fillId="33" borderId="0" xfId="40" applyFont="1" applyFill="1" applyAlignment="1">
      <alignment horizontal="center"/>
    </xf>
    <xf numFmtId="165" fontId="19" fillId="33" borderId="0" xfId="40" applyNumberFormat="1" applyFont="1" applyFill="1" applyAlignment="1">
      <alignment horizontal="center"/>
    </xf>
    <xf numFmtId="0" fontId="18" fillId="33" borderId="0" xfId="40" applyFont="1" applyFill="1" applyAlignment="1">
      <alignment vertical="center"/>
    </xf>
    <xf numFmtId="0" fontId="18" fillId="33" borderId="0" xfId="40" applyFont="1" applyFill="1" applyAlignment="1">
      <alignment horizontal="center" vertical="center" wrapText="1"/>
    </xf>
    <xf numFmtId="0" fontId="18" fillId="33" borderId="0" xfId="40" applyFont="1" applyFill="1" applyAlignment="1">
      <alignment horizontal="center" vertical="center"/>
    </xf>
    <xf numFmtId="0" fontId="22" fillId="33" borderId="0" xfId="40" applyFont="1" applyFill="1" applyAlignment="1">
      <alignment horizontal="center"/>
    </xf>
    <xf numFmtId="165" fontId="22" fillId="33" borderId="0" xfId="40" applyNumberFormat="1" applyFont="1" applyFill="1" applyAlignment="1">
      <alignment horizontal="center"/>
    </xf>
    <xf numFmtId="0" fontId="20" fillId="0" borderId="0" xfId="0" applyFont="1" applyAlignment="1">
      <alignment horizontal="left"/>
    </xf>
    <xf numFmtId="165" fontId="0" fillId="0" borderId="0" xfId="0" applyNumberFormat="1"/>
    <xf numFmtId="165" fontId="19" fillId="0" borderId="0" xfId="4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ont>
        <strike val="0"/>
        <outline val="0"/>
        <shadow val="0"/>
        <u val="none"/>
        <vertAlign val="baseline"/>
        <sz val="10"/>
        <name val="Century Gothic"/>
        <scheme val="none"/>
      </font>
      <numFmt numFmtId="165" formatCode="&quot;₡&quot;#,##0.00;[Red]&quot;₡&quot;#,##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H58" totalsRowShown="0" headerRowDxfId="9" dataDxfId="8" headerRowCellStyle="40% - Énfasis6" dataCellStyle="40% - Énfasis6">
  <autoFilter ref="A1:H58" xr:uid="{00000000-0009-0000-0100-000002000000}"/>
  <sortState xmlns:xlrd2="http://schemas.microsoft.com/office/spreadsheetml/2017/richdata2" ref="A2:I57">
    <sortCondition ref="A1:A57"/>
  </sortState>
  <tableColumns count="8">
    <tableColumn id="1" xr3:uid="{00000000-0010-0000-0000-000001000000}" name="Nombre Completo" dataDxfId="7" dataCellStyle="40% - Énfasis6"/>
    <tableColumn id="2" xr3:uid="{00000000-0010-0000-0000-000002000000}" name="Clase de Puesto" dataDxfId="6" dataCellStyle="40% - Énfasis6"/>
    <tableColumn id="3" xr3:uid="{00000000-0010-0000-0000-000003000000}" name="Fracción" dataDxfId="5" dataCellStyle="40% - Énfasis6"/>
    <tableColumn id="4" xr3:uid="{00000000-0010-0000-0000-000004000000}" name="Mes" dataDxfId="4" dataCellStyle="40% - Énfasis6"/>
    <tableColumn id="5" xr3:uid="{00000000-0010-0000-0000-000005000000}" name="Año" dataDxfId="3" dataCellStyle="40% - Énfasis6"/>
    <tableColumn id="6" xr3:uid="{00000000-0010-0000-0000-000006000000}" name="Dieta" dataDxfId="2" dataCellStyle="40% - Énfasis6"/>
    <tableColumn id="7" xr3:uid="{00000000-0010-0000-0000-000007000000}" name="Gastos de Representación" dataDxfId="1" dataCellStyle="40% - Énfasis6"/>
    <tableColumn id="8" xr3:uid="{00000000-0010-0000-0000-000008000000}" name="Salario Bruto" dataDxfId="0" dataCellStyle="40% - Énfasis6">
      <calculatedColumnFormula>Tabla2[[#This Row],[Dieta]]+Tabla2[[#This Row],[Gastos de Representación]]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showGridLines="0" tabSelected="1" zoomScaleNormal="100" workbookViewId="0">
      <selection activeCell="I2" sqref="I2"/>
    </sheetView>
  </sheetViews>
  <sheetFormatPr baseColWidth="10" defaultRowHeight="15" x14ac:dyDescent="0.25"/>
  <cols>
    <col min="1" max="1" width="33.5703125" customWidth="1"/>
    <col min="2" max="2" width="11.140625" customWidth="1"/>
    <col min="3" max="3" width="10.42578125" customWidth="1"/>
    <col min="4" max="4" width="6.85546875" customWidth="1"/>
    <col min="5" max="5" width="6.7109375" customWidth="1"/>
    <col min="6" max="6" width="13" style="1" customWidth="1"/>
    <col min="7" max="7" width="18" style="1" customWidth="1"/>
    <col min="8" max="8" width="15" customWidth="1"/>
    <col min="9" max="10" width="14.85546875" bestFit="1" customWidth="1"/>
  </cols>
  <sheetData>
    <row r="1" spans="1:8" ht="28.5" x14ac:dyDescent="0.25">
      <c r="A1" s="8" t="s">
        <v>8</v>
      </c>
      <c r="B1" s="9" t="s">
        <v>9</v>
      </c>
      <c r="C1" s="10" t="s">
        <v>0</v>
      </c>
      <c r="D1" s="10" t="s">
        <v>1</v>
      </c>
      <c r="E1" s="10" t="s">
        <v>2</v>
      </c>
      <c r="F1" s="10" t="s">
        <v>3</v>
      </c>
      <c r="G1" s="9" t="s">
        <v>4</v>
      </c>
      <c r="H1" s="10" t="s">
        <v>5</v>
      </c>
    </row>
    <row r="2" spans="1:8" x14ac:dyDescent="0.25">
      <c r="A2" s="5" t="s">
        <v>14</v>
      </c>
      <c r="B2" s="6" t="s">
        <v>11</v>
      </c>
      <c r="C2" s="6" t="s">
        <v>63</v>
      </c>
      <c r="D2" s="6">
        <v>6</v>
      </c>
      <c r="E2" s="6">
        <v>2026</v>
      </c>
      <c r="F2" s="7">
        <v>2956598.55</v>
      </c>
      <c r="G2" s="7">
        <v>1044116.2</v>
      </c>
      <c r="H2" s="15">
        <f>Tabla2[[#This Row],[Dieta]]+Tabla2[[#This Row],[Gastos de Representación]]</f>
        <v>4000714.75</v>
      </c>
    </row>
    <row r="3" spans="1:8" x14ac:dyDescent="0.25">
      <c r="A3" s="5" t="s">
        <v>15</v>
      </c>
      <c r="B3" s="6" t="s">
        <v>10</v>
      </c>
      <c r="C3" s="6" t="s">
        <v>6</v>
      </c>
      <c r="D3" s="6">
        <v>6</v>
      </c>
      <c r="E3" s="6">
        <v>2026</v>
      </c>
      <c r="F3" s="7">
        <v>2956598.55</v>
      </c>
      <c r="G3" s="7">
        <v>1044116.2</v>
      </c>
      <c r="H3" s="15">
        <f>Tabla2[[#This Row],[Dieta]]+Tabla2[[#This Row],[Gastos de Representación]]</f>
        <v>4000714.75</v>
      </c>
    </row>
    <row r="4" spans="1:8" x14ac:dyDescent="0.25">
      <c r="A4" s="5" t="s">
        <v>16</v>
      </c>
      <c r="B4" s="6" t="s">
        <v>10</v>
      </c>
      <c r="C4" s="6" t="s">
        <v>6</v>
      </c>
      <c r="D4" s="6">
        <v>6</v>
      </c>
      <c r="E4" s="6">
        <v>2026</v>
      </c>
      <c r="F4" s="7">
        <v>2956598.55</v>
      </c>
      <c r="G4" s="7">
        <v>1044116.2</v>
      </c>
      <c r="H4" s="15">
        <f>Tabla2[[#This Row],[Dieta]]+Tabla2[[#This Row],[Gastos de Representación]]</f>
        <v>4000714.75</v>
      </c>
    </row>
    <row r="5" spans="1:8" x14ac:dyDescent="0.25">
      <c r="A5" s="5" t="s">
        <v>17</v>
      </c>
      <c r="B5" s="6" t="s">
        <v>10</v>
      </c>
      <c r="C5" s="6" t="s">
        <v>6</v>
      </c>
      <c r="D5" s="6">
        <v>6</v>
      </c>
      <c r="E5" s="6">
        <v>2026</v>
      </c>
      <c r="F5" s="7">
        <v>2858045.27</v>
      </c>
      <c r="G5" s="7">
        <v>1009312.33</v>
      </c>
      <c r="H5" s="15">
        <f>Tabla2[[#This Row],[Dieta]]+Tabla2[[#This Row],[Gastos de Representación]]</f>
        <v>3867357.6</v>
      </c>
    </row>
    <row r="6" spans="1:8" x14ac:dyDescent="0.25">
      <c r="A6" s="5" t="s">
        <v>18</v>
      </c>
      <c r="B6" s="6" t="s">
        <v>11</v>
      </c>
      <c r="C6" s="6" t="s">
        <v>12</v>
      </c>
      <c r="D6" s="6">
        <v>6</v>
      </c>
      <c r="E6" s="6">
        <v>2026</v>
      </c>
      <c r="F6" s="7">
        <v>2956598.55</v>
      </c>
      <c r="G6" s="7">
        <v>1044116.2</v>
      </c>
      <c r="H6" s="15">
        <f>Tabla2[[#This Row],[Dieta]]+Tabla2[[#This Row],[Gastos de Representación]]</f>
        <v>4000714.75</v>
      </c>
    </row>
    <row r="7" spans="1:8" x14ac:dyDescent="0.25">
      <c r="A7" s="5" t="s">
        <v>19</v>
      </c>
      <c r="B7" s="6" t="s">
        <v>11</v>
      </c>
      <c r="C7" s="6" t="s">
        <v>63</v>
      </c>
      <c r="D7" s="6">
        <v>6</v>
      </c>
      <c r="E7" s="6">
        <v>2026</v>
      </c>
      <c r="F7" s="7">
        <v>2956598.55</v>
      </c>
      <c r="G7" s="7">
        <v>1044116.2</v>
      </c>
      <c r="H7" s="15">
        <f>Tabla2[[#This Row],[Dieta]]+Tabla2[[#This Row],[Gastos de Representación]]</f>
        <v>4000714.75</v>
      </c>
    </row>
    <row r="8" spans="1:8" x14ac:dyDescent="0.25">
      <c r="A8" s="5" t="s">
        <v>20</v>
      </c>
      <c r="B8" s="6" t="s">
        <v>11</v>
      </c>
      <c r="C8" s="6" t="s">
        <v>63</v>
      </c>
      <c r="D8" s="6">
        <v>6</v>
      </c>
      <c r="E8" s="6">
        <v>2026</v>
      </c>
      <c r="F8" s="7">
        <v>2956598.55</v>
      </c>
      <c r="G8" s="7">
        <v>1044116.2</v>
      </c>
      <c r="H8" s="15">
        <f>Tabla2[[#This Row],[Dieta]]+Tabla2[[#This Row],[Gastos de Representación]]</f>
        <v>4000714.75</v>
      </c>
    </row>
    <row r="9" spans="1:8" x14ac:dyDescent="0.25">
      <c r="A9" s="5" t="s">
        <v>66</v>
      </c>
      <c r="B9" s="6" t="s">
        <v>10</v>
      </c>
      <c r="C9" s="6" t="s">
        <v>63</v>
      </c>
      <c r="D9" s="6">
        <v>6</v>
      </c>
      <c r="E9" s="6">
        <v>2026</v>
      </c>
      <c r="F9" s="7">
        <v>2956598.55</v>
      </c>
      <c r="G9" s="7">
        <v>1044116.2</v>
      </c>
      <c r="H9" s="15">
        <f>Tabla2[[#This Row],[Dieta]]+Tabla2[[#This Row],[Gastos de Representación]]</f>
        <v>4000714.75</v>
      </c>
    </row>
    <row r="10" spans="1:8" x14ac:dyDescent="0.25">
      <c r="A10" s="5" t="s">
        <v>21</v>
      </c>
      <c r="B10" s="6" t="s">
        <v>11</v>
      </c>
      <c r="C10" s="6" t="s">
        <v>6</v>
      </c>
      <c r="D10" s="6">
        <v>6</v>
      </c>
      <c r="E10" s="6">
        <v>2026</v>
      </c>
      <c r="F10" s="7">
        <v>2956598.55</v>
      </c>
      <c r="G10" s="7">
        <v>1044116.2</v>
      </c>
      <c r="H10" s="15">
        <f>Tabla2[[#This Row],[Dieta]]+Tabla2[[#This Row],[Gastos de Representación]]</f>
        <v>4000714.75</v>
      </c>
    </row>
    <row r="11" spans="1:8" x14ac:dyDescent="0.25">
      <c r="A11" s="5" t="s">
        <v>67</v>
      </c>
      <c r="B11" s="6" t="s">
        <v>11</v>
      </c>
      <c r="C11" s="6" t="s">
        <v>63</v>
      </c>
      <c r="D11" s="6">
        <v>6</v>
      </c>
      <c r="E11" s="6">
        <v>2026</v>
      </c>
      <c r="F11" s="7">
        <v>2956598.55</v>
      </c>
      <c r="G11" s="7">
        <v>1044116.2</v>
      </c>
      <c r="H11" s="15">
        <f>Tabla2[[#This Row],[Dieta]]+Tabla2[[#This Row],[Gastos de Representación]]</f>
        <v>4000714.75</v>
      </c>
    </row>
    <row r="12" spans="1:8" x14ac:dyDescent="0.25">
      <c r="A12" s="5" t="s">
        <v>22</v>
      </c>
      <c r="B12" s="6" t="s">
        <v>11</v>
      </c>
      <c r="C12" s="6" t="s">
        <v>63</v>
      </c>
      <c r="D12" s="6">
        <v>6</v>
      </c>
      <c r="E12" s="6">
        <v>2026</v>
      </c>
      <c r="F12" s="7">
        <v>2956598.55</v>
      </c>
      <c r="G12" s="7">
        <v>1044116.2</v>
      </c>
      <c r="H12" s="15">
        <f>Tabla2[[#This Row],[Dieta]]+Tabla2[[#This Row],[Gastos de Representación]]</f>
        <v>4000714.75</v>
      </c>
    </row>
    <row r="13" spans="1:8" x14ac:dyDescent="0.25">
      <c r="A13" s="5" t="s">
        <v>23</v>
      </c>
      <c r="B13" s="6" t="s">
        <v>10</v>
      </c>
      <c r="C13" s="6" t="s">
        <v>63</v>
      </c>
      <c r="D13" s="6">
        <v>6</v>
      </c>
      <c r="E13" s="6">
        <v>2026</v>
      </c>
      <c r="F13" s="7">
        <v>2956598.55</v>
      </c>
      <c r="G13" s="7">
        <v>1044116.2</v>
      </c>
      <c r="H13" s="15">
        <f>Tabla2[[#This Row],[Dieta]]+Tabla2[[#This Row],[Gastos de Representación]]</f>
        <v>4000714.75</v>
      </c>
    </row>
    <row r="14" spans="1:8" x14ac:dyDescent="0.25">
      <c r="A14" s="5" t="s">
        <v>68</v>
      </c>
      <c r="B14" s="6" t="s">
        <v>11</v>
      </c>
      <c r="C14" s="6" t="s">
        <v>63</v>
      </c>
      <c r="D14" s="6">
        <v>6</v>
      </c>
      <c r="E14" s="6">
        <v>2026</v>
      </c>
      <c r="F14" s="7">
        <v>2956598.55</v>
      </c>
      <c r="G14" s="7">
        <v>1044116.2</v>
      </c>
      <c r="H14" s="15">
        <f>Tabla2[[#This Row],[Dieta]]+Tabla2[[#This Row],[Gastos de Representación]]</f>
        <v>4000714.75</v>
      </c>
    </row>
    <row r="15" spans="1:8" x14ac:dyDescent="0.25">
      <c r="A15" s="5" t="s">
        <v>24</v>
      </c>
      <c r="B15" s="6" t="s">
        <v>10</v>
      </c>
      <c r="C15" s="6" t="s">
        <v>63</v>
      </c>
      <c r="D15" s="6">
        <v>6</v>
      </c>
      <c r="E15" s="6">
        <v>2026</v>
      </c>
      <c r="F15" s="7">
        <v>2956598.55</v>
      </c>
      <c r="G15" s="7">
        <v>1044116.2</v>
      </c>
      <c r="H15" s="15">
        <f>Tabla2[[#This Row],[Dieta]]+Tabla2[[#This Row],[Gastos de Representación]]</f>
        <v>4000714.75</v>
      </c>
    </row>
    <row r="16" spans="1:8" x14ac:dyDescent="0.25">
      <c r="A16" s="5" t="s">
        <v>25</v>
      </c>
      <c r="B16" s="6" t="s">
        <v>11</v>
      </c>
      <c r="C16" s="6" t="s">
        <v>63</v>
      </c>
      <c r="D16" s="6">
        <v>6</v>
      </c>
      <c r="E16" s="6">
        <v>2026</v>
      </c>
      <c r="F16" s="7">
        <v>2956598.55</v>
      </c>
      <c r="G16" s="7">
        <v>1044116.2</v>
      </c>
      <c r="H16" s="15">
        <f>Tabla2[[#This Row],[Dieta]]+Tabla2[[#This Row],[Gastos de Representación]]</f>
        <v>4000714.75</v>
      </c>
    </row>
    <row r="17" spans="1:8" x14ac:dyDescent="0.25">
      <c r="A17" s="5" t="s">
        <v>26</v>
      </c>
      <c r="B17" s="6" t="s">
        <v>11</v>
      </c>
      <c r="C17" s="6" t="s">
        <v>6</v>
      </c>
      <c r="D17" s="6">
        <v>6</v>
      </c>
      <c r="E17" s="6">
        <v>2026</v>
      </c>
      <c r="F17" s="7">
        <v>2956598.55</v>
      </c>
      <c r="G17" s="7">
        <v>1044116.2</v>
      </c>
      <c r="H17" s="15">
        <f>Tabla2[[#This Row],[Dieta]]+Tabla2[[#This Row],[Gastos de Representación]]</f>
        <v>4000714.75</v>
      </c>
    </row>
    <row r="18" spans="1:8" x14ac:dyDescent="0.25">
      <c r="A18" s="5" t="s">
        <v>69</v>
      </c>
      <c r="B18" s="6" t="s">
        <v>10</v>
      </c>
      <c r="C18" s="6" t="s">
        <v>63</v>
      </c>
      <c r="D18" s="6">
        <v>6</v>
      </c>
      <c r="E18" s="6">
        <v>2026</v>
      </c>
      <c r="F18" s="7">
        <v>2956598.55</v>
      </c>
      <c r="G18" s="7">
        <v>1044116.2</v>
      </c>
      <c r="H18" s="15">
        <f>Tabla2[[#This Row],[Dieta]]+Tabla2[[#This Row],[Gastos de Representación]]</f>
        <v>4000714.75</v>
      </c>
    </row>
    <row r="19" spans="1:8" x14ac:dyDescent="0.25">
      <c r="A19" s="5" t="s">
        <v>27</v>
      </c>
      <c r="B19" s="6" t="s">
        <v>10</v>
      </c>
      <c r="C19" s="6" t="s">
        <v>63</v>
      </c>
      <c r="D19" s="6">
        <v>6</v>
      </c>
      <c r="E19" s="6">
        <v>2026</v>
      </c>
      <c r="F19" s="7">
        <v>2956598.55</v>
      </c>
      <c r="G19" s="7">
        <v>1044116.2</v>
      </c>
      <c r="H19" s="15">
        <f>Tabla2[[#This Row],[Dieta]]+Tabla2[[#This Row],[Gastos de Representación]]</f>
        <v>4000714.75</v>
      </c>
    </row>
    <row r="20" spans="1:8" x14ac:dyDescent="0.25">
      <c r="A20" s="5" t="s">
        <v>28</v>
      </c>
      <c r="B20" s="6" t="s">
        <v>11</v>
      </c>
      <c r="C20" s="6" t="s">
        <v>6</v>
      </c>
      <c r="D20" s="6">
        <v>6</v>
      </c>
      <c r="E20" s="6">
        <v>2026</v>
      </c>
      <c r="F20" s="7">
        <v>2956598.55</v>
      </c>
      <c r="G20" s="7">
        <v>1044116.2</v>
      </c>
      <c r="H20" s="15">
        <f>Tabla2[[#This Row],[Dieta]]+Tabla2[[#This Row],[Gastos de Representación]]</f>
        <v>4000714.75</v>
      </c>
    </row>
    <row r="21" spans="1:8" x14ac:dyDescent="0.25">
      <c r="A21" s="5" t="s">
        <v>29</v>
      </c>
      <c r="B21" s="6" t="s">
        <v>10</v>
      </c>
      <c r="C21" s="11" t="s">
        <v>64</v>
      </c>
      <c r="D21" s="6">
        <v>6</v>
      </c>
      <c r="E21" s="6">
        <v>2026</v>
      </c>
      <c r="F21" s="12">
        <v>2956598.55</v>
      </c>
      <c r="G21" s="12">
        <v>1044116.2</v>
      </c>
      <c r="H21" s="15">
        <f>Tabla2[[#This Row],[Dieta]]+Tabla2[[#This Row],[Gastos de Representación]]</f>
        <v>4000714.75</v>
      </c>
    </row>
    <row r="22" spans="1:8" x14ac:dyDescent="0.25">
      <c r="A22" s="5" t="s">
        <v>30</v>
      </c>
      <c r="B22" s="6" t="s">
        <v>10</v>
      </c>
      <c r="C22" s="6" t="s">
        <v>63</v>
      </c>
      <c r="D22" s="6">
        <v>6</v>
      </c>
      <c r="E22" s="6">
        <v>2026</v>
      </c>
      <c r="F22" s="7">
        <v>2956598.55</v>
      </c>
      <c r="G22" s="7">
        <v>1044116.2</v>
      </c>
      <c r="H22" s="15">
        <f>Tabla2[[#This Row],[Dieta]]+Tabla2[[#This Row],[Gastos de Representación]]</f>
        <v>4000714.75</v>
      </c>
    </row>
    <row r="23" spans="1:8" x14ac:dyDescent="0.25">
      <c r="A23" s="5" t="s">
        <v>31</v>
      </c>
      <c r="B23" s="6" t="s">
        <v>10</v>
      </c>
      <c r="C23" s="6" t="s">
        <v>63</v>
      </c>
      <c r="D23" s="6">
        <v>6</v>
      </c>
      <c r="E23" s="6">
        <v>2026</v>
      </c>
      <c r="F23" s="7">
        <v>2956598.55</v>
      </c>
      <c r="G23" s="7">
        <v>1044116.2</v>
      </c>
      <c r="H23" s="15">
        <f>Tabla2[[#This Row],[Dieta]]+Tabla2[[#This Row],[Gastos de Representación]]</f>
        <v>4000714.75</v>
      </c>
    </row>
    <row r="24" spans="1:8" x14ac:dyDescent="0.25">
      <c r="A24" s="5" t="s">
        <v>32</v>
      </c>
      <c r="B24" s="6" t="s">
        <v>10</v>
      </c>
      <c r="C24" s="6" t="s">
        <v>7</v>
      </c>
      <c r="D24" s="6">
        <v>6</v>
      </c>
      <c r="E24" s="6">
        <v>2026</v>
      </c>
      <c r="F24" s="7">
        <v>2759491.99</v>
      </c>
      <c r="G24" s="7">
        <v>974508.46</v>
      </c>
      <c r="H24" s="15">
        <f>Tabla2[[#This Row],[Dieta]]+Tabla2[[#This Row],[Gastos de Representación]]</f>
        <v>3734000.45</v>
      </c>
    </row>
    <row r="25" spans="1:8" x14ac:dyDescent="0.25">
      <c r="A25" s="5" t="s">
        <v>33</v>
      </c>
      <c r="B25" s="6" t="s">
        <v>10</v>
      </c>
      <c r="C25" s="6" t="s">
        <v>63</v>
      </c>
      <c r="D25" s="6">
        <v>6</v>
      </c>
      <c r="E25" s="6">
        <v>2026</v>
      </c>
      <c r="F25" s="7">
        <v>2956598.55</v>
      </c>
      <c r="G25" s="7">
        <v>1044116.2</v>
      </c>
      <c r="H25" s="15">
        <f>Tabla2[[#This Row],[Dieta]]+Tabla2[[#This Row],[Gastos de Representación]]</f>
        <v>4000714.75</v>
      </c>
    </row>
    <row r="26" spans="1:8" x14ac:dyDescent="0.25">
      <c r="A26" s="5" t="s">
        <v>34</v>
      </c>
      <c r="B26" s="6" t="s">
        <v>11</v>
      </c>
      <c r="C26" s="6" t="s">
        <v>6</v>
      </c>
      <c r="D26" s="6">
        <v>6</v>
      </c>
      <c r="E26" s="6">
        <v>2026</v>
      </c>
      <c r="F26" s="7">
        <v>2956598.55</v>
      </c>
      <c r="G26" s="7">
        <v>1044116.2</v>
      </c>
      <c r="H26" s="15">
        <f>Tabla2[[#This Row],[Dieta]]+Tabla2[[#This Row],[Gastos de Representación]]</f>
        <v>4000714.75</v>
      </c>
    </row>
    <row r="27" spans="1:8" x14ac:dyDescent="0.25">
      <c r="A27" s="5" t="s">
        <v>35</v>
      </c>
      <c r="B27" s="6" t="s">
        <v>11</v>
      </c>
      <c r="C27" s="6" t="s">
        <v>6</v>
      </c>
      <c r="D27" s="6">
        <v>6</v>
      </c>
      <c r="E27" s="6">
        <v>2026</v>
      </c>
      <c r="F27" s="7">
        <v>2956598.55</v>
      </c>
      <c r="G27" s="7">
        <v>1044116.2</v>
      </c>
      <c r="H27" s="15">
        <f>Tabla2[[#This Row],[Dieta]]+Tabla2[[#This Row],[Gastos de Representación]]</f>
        <v>4000714.75</v>
      </c>
    </row>
    <row r="28" spans="1:8" x14ac:dyDescent="0.25">
      <c r="A28" s="5" t="s">
        <v>36</v>
      </c>
      <c r="B28" s="6" t="s">
        <v>11</v>
      </c>
      <c r="C28" s="6" t="s">
        <v>63</v>
      </c>
      <c r="D28" s="6">
        <v>6</v>
      </c>
      <c r="E28" s="6">
        <v>2026</v>
      </c>
      <c r="F28" s="7">
        <v>2956598.55</v>
      </c>
      <c r="G28" s="7">
        <v>1044116.2</v>
      </c>
      <c r="H28" s="15">
        <f>Tabla2[[#This Row],[Dieta]]+Tabla2[[#This Row],[Gastos de Representación]]</f>
        <v>4000714.75</v>
      </c>
    </row>
    <row r="29" spans="1:8" x14ac:dyDescent="0.25">
      <c r="A29" s="5" t="s">
        <v>37</v>
      </c>
      <c r="B29" s="6" t="s">
        <v>10</v>
      </c>
      <c r="C29" s="6" t="s">
        <v>63</v>
      </c>
      <c r="D29" s="6">
        <v>6</v>
      </c>
      <c r="E29" s="6">
        <v>2026</v>
      </c>
      <c r="F29" s="7">
        <v>2956598.55</v>
      </c>
      <c r="G29" s="7">
        <v>1044116.2</v>
      </c>
      <c r="H29" s="15">
        <f>Tabla2[[#This Row],[Dieta]]+Tabla2[[#This Row],[Gastos de Representación]]</f>
        <v>4000714.75</v>
      </c>
    </row>
    <row r="30" spans="1:8" x14ac:dyDescent="0.25">
      <c r="A30" s="5" t="s">
        <v>38</v>
      </c>
      <c r="B30" s="6" t="s">
        <v>10</v>
      </c>
      <c r="C30" s="6" t="s">
        <v>6</v>
      </c>
      <c r="D30" s="6">
        <v>6</v>
      </c>
      <c r="E30" s="6">
        <v>2026</v>
      </c>
      <c r="F30" s="7">
        <v>2956598.55</v>
      </c>
      <c r="G30" s="7">
        <v>1044116.2</v>
      </c>
      <c r="H30" s="15">
        <f>Tabla2[[#This Row],[Dieta]]+Tabla2[[#This Row],[Gastos de Representación]]</f>
        <v>4000714.75</v>
      </c>
    </row>
    <row r="31" spans="1:8" x14ac:dyDescent="0.25">
      <c r="A31" s="5" t="s">
        <v>39</v>
      </c>
      <c r="B31" s="6" t="s">
        <v>10</v>
      </c>
      <c r="C31" s="6" t="s">
        <v>6</v>
      </c>
      <c r="D31" s="6">
        <v>6</v>
      </c>
      <c r="E31" s="6">
        <v>2026</v>
      </c>
      <c r="F31" s="7">
        <v>2858045.27</v>
      </c>
      <c r="G31" s="7">
        <v>1009312.33</v>
      </c>
      <c r="H31" s="15">
        <f>Tabla2[[#This Row],[Dieta]]+Tabla2[[#This Row],[Gastos de Representación]]</f>
        <v>3867357.6</v>
      </c>
    </row>
    <row r="32" spans="1:8" x14ac:dyDescent="0.25">
      <c r="A32" s="5" t="s">
        <v>40</v>
      </c>
      <c r="B32" s="6" t="s">
        <v>11</v>
      </c>
      <c r="C32" s="6" t="s">
        <v>6</v>
      </c>
      <c r="D32" s="6">
        <v>6</v>
      </c>
      <c r="E32" s="6">
        <v>2026</v>
      </c>
      <c r="F32" s="7">
        <v>2956598.55</v>
      </c>
      <c r="G32" s="7">
        <v>1044116.2</v>
      </c>
      <c r="H32" s="15">
        <f>Tabla2[[#This Row],[Dieta]]+Tabla2[[#This Row],[Gastos de Representación]]</f>
        <v>4000714.75</v>
      </c>
    </row>
    <row r="33" spans="1:8" x14ac:dyDescent="0.25">
      <c r="A33" s="5" t="s">
        <v>41</v>
      </c>
      <c r="B33" s="6" t="s">
        <v>11</v>
      </c>
      <c r="C33" s="6" t="s">
        <v>63</v>
      </c>
      <c r="D33" s="6">
        <v>6</v>
      </c>
      <c r="E33" s="6">
        <v>2026</v>
      </c>
      <c r="F33" s="7">
        <v>2956598.55</v>
      </c>
      <c r="G33" s="7">
        <v>1044116.2</v>
      </c>
      <c r="H33" s="15">
        <f>Tabla2[[#This Row],[Dieta]]+Tabla2[[#This Row],[Gastos de Representación]]</f>
        <v>4000714.75</v>
      </c>
    </row>
    <row r="34" spans="1:8" x14ac:dyDescent="0.25">
      <c r="A34" s="5" t="s">
        <v>70</v>
      </c>
      <c r="B34" s="6" t="s">
        <v>10</v>
      </c>
      <c r="C34" s="6" t="s">
        <v>63</v>
      </c>
      <c r="D34" s="6">
        <v>6</v>
      </c>
      <c r="E34" s="6">
        <v>2026</v>
      </c>
      <c r="F34" s="7">
        <v>2956598.55</v>
      </c>
      <c r="G34" s="7">
        <v>1044116.2</v>
      </c>
      <c r="H34" s="15">
        <f>Tabla2[[#This Row],[Dieta]]+Tabla2[[#This Row],[Gastos de Representación]]</f>
        <v>4000714.75</v>
      </c>
    </row>
    <row r="35" spans="1:8" x14ac:dyDescent="0.25">
      <c r="A35" s="5" t="s">
        <v>71</v>
      </c>
      <c r="B35" s="6" t="s">
        <v>11</v>
      </c>
      <c r="C35" s="6" t="s">
        <v>63</v>
      </c>
      <c r="D35" s="6">
        <v>6</v>
      </c>
      <c r="E35" s="6">
        <v>2026</v>
      </c>
      <c r="F35" s="7">
        <v>2956598.55</v>
      </c>
      <c r="G35" s="7">
        <v>1044116.2</v>
      </c>
      <c r="H35" s="15">
        <f>Tabla2[[#This Row],[Dieta]]+Tabla2[[#This Row],[Gastos de Representación]]</f>
        <v>4000714.75</v>
      </c>
    </row>
    <row r="36" spans="1:8" x14ac:dyDescent="0.25">
      <c r="A36" s="5" t="s">
        <v>42</v>
      </c>
      <c r="B36" s="6" t="s">
        <v>10</v>
      </c>
      <c r="C36" s="6" t="s">
        <v>12</v>
      </c>
      <c r="D36" s="6">
        <v>6</v>
      </c>
      <c r="E36" s="6">
        <v>2026</v>
      </c>
      <c r="F36" s="7">
        <v>2956598.55</v>
      </c>
      <c r="G36" s="7">
        <v>1044116.2</v>
      </c>
      <c r="H36" s="15">
        <f>Tabla2[[#This Row],[Dieta]]+Tabla2[[#This Row],[Gastos de Representación]]</f>
        <v>4000714.75</v>
      </c>
    </row>
    <row r="37" spans="1:8" x14ac:dyDescent="0.25">
      <c r="A37" s="5" t="s">
        <v>43</v>
      </c>
      <c r="B37" s="6" t="s">
        <v>10</v>
      </c>
      <c r="C37" s="6" t="s">
        <v>63</v>
      </c>
      <c r="D37" s="6">
        <v>6</v>
      </c>
      <c r="E37" s="6">
        <v>2026</v>
      </c>
      <c r="F37" s="7">
        <v>2956598.55</v>
      </c>
      <c r="G37" s="7">
        <v>1044116.2</v>
      </c>
      <c r="H37" s="15">
        <f>Tabla2[[#This Row],[Dieta]]+Tabla2[[#This Row],[Gastos de Representación]]</f>
        <v>4000714.75</v>
      </c>
    </row>
    <row r="38" spans="1:8" x14ac:dyDescent="0.25">
      <c r="A38" s="5" t="s">
        <v>44</v>
      </c>
      <c r="B38" s="6" t="s">
        <v>10</v>
      </c>
      <c r="C38" s="6" t="s">
        <v>63</v>
      </c>
      <c r="D38" s="6">
        <v>6</v>
      </c>
      <c r="E38" s="6">
        <v>2026</v>
      </c>
      <c r="F38" s="7">
        <v>2956598.55</v>
      </c>
      <c r="G38" s="7">
        <v>1044116.2</v>
      </c>
      <c r="H38" s="15">
        <f>Tabla2[[#This Row],[Dieta]]+Tabla2[[#This Row],[Gastos de Representación]]</f>
        <v>4000714.75</v>
      </c>
    </row>
    <row r="39" spans="1:8" x14ac:dyDescent="0.25">
      <c r="A39" s="5" t="s">
        <v>45</v>
      </c>
      <c r="B39" s="6" t="s">
        <v>10</v>
      </c>
      <c r="C39" s="6" t="s">
        <v>63</v>
      </c>
      <c r="D39" s="6">
        <v>6</v>
      </c>
      <c r="E39" s="6">
        <v>2026</v>
      </c>
      <c r="F39" s="7">
        <v>2956598.55</v>
      </c>
      <c r="G39" s="7">
        <v>1044116.2</v>
      </c>
      <c r="H39" s="15">
        <f>Tabla2[[#This Row],[Dieta]]+Tabla2[[#This Row],[Gastos de Representación]]</f>
        <v>4000714.75</v>
      </c>
    </row>
    <row r="40" spans="1:8" x14ac:dyDescent="0.25">
      <c r="A40" s="5" t="s">
        <v>46</v>
      </c>
      <c r="B40" s="6" t="s">
        <v>10</v>
      </c>
      <c r="C40" s="6" t="s">
        <v>6</v>
      </c>
      <c r="D40" s="6">
        <v>6</v>
      </c>
      <c r="E40" s="6">
        <v>2026</v>
      </c>
      <c r="F40" s="7">
        <v>2956598.55</v>
      </c>
      <c r="G40" s="7">
        <v>1044116.2</v>
      </c>
      <c r="H40" s="15">
        <f>Tabla2[[#This Row],[Dieta]]+Tabla2[[#This Row],[Gastos de Representación]]</f>
        <v>4000714.75</v>
      </c>
    </row>
    <row r="41" spans="1:8" x14ac:dyDescent="0.25">
      <c r="A41" s="5" t="s">
        <v>47</v>
      </c>
      <c r="B41" s="6" t="s">
        <v>11</v>
      </c>
      <c r="C41" s="6" t="s">
        <v>63</v>
      </c>
      <c r="D41" s="6">
        <v>6</v>
      </c>
      <c r="E41" s="6">
        <v>2026</v>
      </c>
      <c r="F41" s="7">
        <v>2956598.55</v>
      </c>
      <c r="G41" s="7">
        <v>1044116.2</v>
      </c>
      <c r="H41" s="15">
        <f>Tabla2[[#This Row],[Dieta]]+Tabla2[[#This Row],[Gastos de Representación]]</f>
        <v>4000714.75</v>
      </c>
    </row>
    <row r="42" spans="1:8" x14ac:dyDescent="0.25">
      <c r="A42" s="5" t="s">
        <v>48</v>
      </c>
      <c r="B42" s="6" t="s">
        <v>10</v>
      </c>
      <c r="C42" s="6" t="s">
        <v>63</v>
      </c>
      <c r="D42" s="6">
        <v>6</v>
      </c>
      <c r="E42" s="6">
        <v>2026</v>
      </c>
      <c r="F42" s="7">
        <v>2956598.55</v>
      </c>
      <c r="G42" s="7">
        <v>1044116.2</v>
      </c>
      <c r="H42" s="15">
        <f>Tabla2[[#This Row],[Dieta]]+Tabla2[[#This Row],[Gastos de Representación]]</f>
        <v>4000714.75</v>
      </c>
    </row>
    <row r="43" spans="1:8" x14ac:dyDescent="0.25">
      <c r="A43" s="5" t="s">
        <v>49</v>
      </c>
      <c r="B43" s="6" t="s">
        <v>11</v>
      </c>
      <c r="C43" s="6" t="s">
        <v>6</v>
      </c>
      <c r="D43" s="6">
        <v>6</v>
      </c>
      <c r="E43" s="6">
        <v>2026</v>
      </c>
      <c r="F43" s="7">
        <v>2956598.55</v>
      </c>
      <c r="G43" s="7">
        <v>1044116.2</v>
      </c>
      <c r="H43" s="15">
        <f>Tabla2[[#This Row],[Dieta]]+Tabla2[[#This Row],[Gastos de Representación]]</f>
        <v>4000714.75</v>
      </c>
    </row>
    <row r="44" spans="1:8" x14ac:dyDescent="0.25">
      <c r="A44" s="5" t="s">
        <v>50</v>
      </c>
      <c r="B44" s="6" t="s">
        <v>11</v>
      </c>
      <c r="C44" s="6" t="s">
        <v>63</v>
      </c>
      <c r="D44" s="6">
        <v>6</v>
      </c>
      <c r="E44" s="6">
        <v>2026</v>
      </c>
      <c r="F44" s="7">
        <v>2956598.55</v>
      </c>
      <c r="G44" s="7">
        <v>1044116.2</v>
      </c>
      <c r="H44" s="15">
        <f>Tabla2[[#This Row],[Dieta]]+Tabla2[[#This Row],[Gastos de Representación]]</f>
        <v>4000714.75</v>
      </c>
    </row>
    <row r="45" spans="1:8" x14ac:dyDescent="0.25">
      <c r="A45" s="5" t="s">
        <v>51</v>
      </c>
      <c r="B45" s="6" t="s">
        <v>11</v>
      </c>
      <c r="C45" s="6" t="s">
        <v>6</v>
      </c>
      <c r="D45" s="6">
        <v>6</v>
      </c>
      <c r="E45" s="6">
        <v>2026</v>
      </c>
      <c r="F45" s="7">
        <v>2956598.55</v>
      </c>
      <c r="G45" s="7">
        <v>1044116.2</v>
      </c>
      <c r="H45" s="15">
        <f>Tabla2[[#This Row],[Dieta]]+Tabla2[[#This Row],[Gastos de Representación]]</f>
        <v>4000714.75</v>
      </c>
    </row>
    <row r="46" spans="1:8" x14ac:dyDescent="0.25">
      <c r="A46" s="5" t="s">
        <v>52</v>
      </c>
      <c r="B46" s="6" t="s">
        <v>11</v>
      </c>
      <c r="C46" s="6" t="s">
        <v>63</v>
      </c>
      <c r="D46" s="6">
        <v>6</v>
      </c>
      <c r="E46" s="6">
        <v>2026</v>
      </c>
      <c r="F46" s="7">
        <v>2956598.55</v>
      </c>
      <c r="G46" s="7">
        <v>1044116.2</v>
      </c>
      <c r="H46" s="15">
        <f>Tabla2[[#This Row],[Dieta]]+Tabla2[[#This Row],[Gastos de Representación]]</f>
        <v>4000714.75</v>
      </c>
    </row>
    <row r="47" spans="1:8" x14ac:dyDescent="0.25">
      <c r="A47" s="5" t="s">
        <v>53</v>
      </c>
      <c r="B47" s="6" t="s">
        <v>10</v>
      </c>
      <c r="C47" s="6" t="s">
        <v>12</v>
      </c>
      <c r="D47" s="6">
        <v>6</v>
      </c>
      <c r="E47" s="6">
        <v>2026</v>
      </c>
      <c r="F47" s="7">
        <v>2956598.55</v>
      </c>
      <c r="G47" s="7">
        <v>1044116.2</v>
      </c>
      <c r="H47" s="15">
        <f>Tabla2[[#This Row],[Dieta]]+Tabla2[[#This Row],[Gastos de Representación]]</f>
        <v>4000714.75</v>
      </c>
    </row>
    <row r="48" spans="1:8" x14ac:dyDescent="0.25">
      <c r="A48" s="5" t="s">
        <v>65</v>
      </c>
      <c r="B48" s="6" t="s">
        <v>10</v>
      </c>
      <c r="C48" s="6" t="s">
        <v>12</v>
      </c>
      <c r="D48" s="6">
        <v>6</v>
      </c>
      <c r="E48" s="6">
        <v>2026</v>
      </c>
      <c r="F48" s="7">
        <v>2956598.55</v>
      </c>
      <c r="G48" s="7">
        <v>1044116.2</v>
      </c>
      <c r="H48" s="15">
        <f>Tabla2[[#This Row],[Dieta]]+Tabla2[[#This Row],[Gastos de Representación]]</f>
        <v>4000714.75</v>
      </c>
    </row>
    <row r="49" spans="1:10" x14ac:dyDescent="0.25">
      <c r="A49" s="5" t="s">
        <v>54</v>
      </c>
      <c r="B49" s="6" t="s">
        <v>10</v>
      </c>
      <c r="C49" s="6" t="s">
        <v>6</v>
      </c>
      <c r="D49" s="6">
        <v>6</v>
      </c>
      <c r="E49" s="6">
        <v>2026</v>
      </c>
      <c r="F49" s="7">
        <v>2956598.55</v>
      </c>
      <c r="G49" s="7">
        <v>1044116.2</v>
      </c>
      <c r="H49" s="15">
        <f>Tabla2[[#This Row],[Dieta]]+Tabla2[[#This Row],[Gastos de Representación]]</f>
        <v>4000714.75</v>
      </c>
    </row>
    <row r="50" spans="1:10" x14ac:dyDescent="0.25">
      <c r="A50" s="5" t="s">
        <v>55</v>
      </c>
      <c r="B50" s="6" t="s">
        <v>10</v>
      </c>
      <c r="C50" s="6" t="s">
        <v>12</v>
      </c>
      <c r="D50" s="6">
        <v>6</v>
      </c>
      <c r="E50" s="6">
        <v>2026</v>
      </c>
      <c r="F50" s="7">
        <v>2956598.55</v>
      </c>
      <c r="G50" s="7">
        <v>1044116.2</v>
      </c>
      <c r="H50" s="15">
        <f>Tabla2[[#This Row],[Dieta]]+Tabla2[[#This Row],[Gastos de Representación]]</f>
        <v>4000714.75</v>
      </c>
    </row>
    <row r="51" spans="1:10" x14ac:dyDescent="0.25">
      <c r="A51" s="5" t="s">
        <v>56</v>
      </c>
      <c r="B51" s="6" t="s">
        <v>11</v>
      </c>
      <c r="C51" s="6" t="s">
        <v>63</v>
      </c>
      <c r="D51" s="6">
        <v>6</v>
      </c>
      <c r="E51" s="6">
        <v>2026</v>
      </c>
      <c r="F51" s="7">
        <v>2956598.55</v>
      </c>
      <c r="G51" s="7">
        <v>1044116.2</v>
      </c>
      <c r="H51" s="15">
        <f>Tabla2[[#This Row],[Dieta]]+Tabla2[[#This Row],[Gastos de Representación]]</f>
        <v>4000714.75</v>
      </c>
    </row>
    <row r="52" spans="1:10" x14ac:dyDescent="0.25">
      <c r="A52" s="5" t="s">
        <v>57</v>
      </c>
      <c r="B52" s="6" t="s">
        <v>11</v>
      </c>
      <c r="C52" s="6" t="s">
        <v>12</v>
      </c>
      <c r="D52" s="6">
        <v>6</v>
      </c>
      <c r="E52" s="6">
        <v>2026</v>
      </c>
      <c r="F52" s="7">
        <v>2956598.55</v>
      </c>
      <c r="G52" s="7">
        <v>1044116.2</v>
      </c>
      <c r="H52" s="15">
        <f>Tabla2[[#This Row],[Dieta]]+Tabla2[[#This Row],[Gastos de Representación]]</f>
        <v>4000714.75</v>
      </c>
    </row>
    <row r="53" spans="1:10" x14ac:dyDescent="0.25">
      <c r="A53" s="5" t="s">
        <v>58</v>
      </c>
      <c r="B53" s="6" t="s">
        <v>10</v>
      </c>
      <c r="C53" s="6" t="s">
        <v>63</v>
      </c>
      <c r="D53" s="6">
        <v>6</v>
      </c>
      <c r="E53" s="6">
        <v>2026</v>
      </c>
      <c r="F53" s="7">
        <v>2956598.55</v>
      </c>
      <c r="G53" s="7">
        <v>1044116.2</v>
      </c>
      <c r="H53" s="15">
        <f>Tabla2[[#This Row],[Dieta]]+Tabla2[[#This Row],[Gastos de Representación]]</f>
        <v>4000714.75</v>
      </c>
    </row>
    <row r="54" spans="1:10" x14ac:dyDescent="0.25">
      <c r="A54" s="5" t="s">
        <v>59</v>
      </c>
      <c r="B54" s="6" t="s">
        <v>10</v>
      </c>
      <c r="C54" s="6" t="s">
        <v>6</v>
      </c>
      <c r="D54" s="6">
        <v>6</v>
      </c>
      <c r="E54" s="6">
        <v>2026</v>
      </c>
      <c r="F54" s="7">
        <v>2956598.55</v>
      </c>
      <c r="G54" s="7">
        <v>1044116.2</v>
      </c>
      <c r="H54" s="15">
        <f>Tabla2[[#This Row],[Dieta]]+Tabla2[[#This Row],[Gastos de Representación]]</f>
        <v>4000714.75</v>
      </c>
    </row>
    <row r="55" spans="1:10" x14ac:dyDescent="0.25">
      <c r="A55" s="5" t="s">
        <v>60</v>
      </c>
      <c r="B55" s="6" t="s">
        <v>11</v>
      </c>
      <c r="C55" s="6" t="s">
        <v>6</v>
      </c>
      <c r="D55" s="6">
        <v>6</v>
      </c>
      <c r="E55" s="6">
        <v>2026</v>
      </c>
      <c r="F55" s="7">
        <v>2956598.55</v>
      </c>
      <c r="G55" s="7">
        <v>1044116.2</v>
      </c>
      <c r="H55" s="15">
        <f>Tabla2[[#This Row],[Dieta]]+Tabla2[[#This Row],[Gastos de Representación]]</f>
        <v>4000714.75</v>
      </c>
    </row>
    <row r="56" spans="1:10" x14ac:dyDescent="0.25">
      <c r="A56" s="5" t="s">
        <v>61</v>
      </c>
      <c r="B56" s="6" t="s">
        <v>11</v>
      </c>
      <c r="C56" s="6" t="s">
        <v>63</v>
      </c>
      <c r="D56" s="6">
        <v>6</v>
      </c>
      <c r="E56" s="6">
        <v>2026</v>
      </c>
      <c r="F56" s="7">
        <v>2956598.55</v>
      </c>
      <c r="G56" s="7">
        <v>1044116.2</v>
      </c>
      <c r="H56" s="15">
        <f>Tabla2[[#This Row],[Dieta]]+Tabla2[[#This Row],[Gastos de Representación]]</f>
        <v>4000714.75</v>
      </c>
    </row>
    <row r="57" spans="1:10" x14ac:dyDescent="0.25">
      <c r="A57" s="5" t="s">
        <v>72</v>
      </c>
      <c r="B57" s="6" t="s">
        <v>11</v>
      </c>
      <c r="C57" s="6" t="s">
        <v>12</v>
      </c>
      <c r="D57" s="6">
        <v>6</v>
      </c>
      <c r="E57" s="6">
        <v>2026</v>
      </c>
      <c r="F57" s="7">
        <v>2956598.55</v>
      </c>
      <c r="G57" s="7">
        <v>1044116.2</v>
      </c>
      <c r="H57" s="15">
        <f>Tabla2[[#This Row],[Dieta]]+Tabla2[[#This Row],[Gastos de Representación]]</f>
        <v>4000714.75</v>
      </c>
    </row>
    <row r="58" spans="1:10" x14ac:dyDescent="0.25">
      <c r="A58" s="5" t="s">
        <v>62</v>
      </c>
      <c r="B58" s="6" t="s">
        <v>10</v>
      </c>
      <c r="C58" s="6" t="s">
        <v>63</v>
      </c>
      <c r="D58" s="6">
        <v>6</v>
      </c>
      <c r="E58" s="6">
        <v>2026</v>
      </c>
      <c r="F58" s="7">
        <v>0</v>
      </c>
      <c r="G58" s="7">
        <v>0</v>
      </c>
      <c r="H58" s="15">
        <f>Tabla2[[#This Row],[Dieta]]+Tabla2[[#This Row],[Gastos de Representación]]</f>
        <v>0</v>
      </c>
    </row>
    <row r="60" spans="1:10" x14ac:dyDescent="0.25">
      <c r="H60" s="2"/>
      <c r="I60" s="2"/>
      <c r="J60" s="14"/>
    </row>
    <row r="61" spans="1:10" x14ac:dyDescent="0.25">
      <c r="A61" s="13" t="s">
        <v>13</v>
      </c>
      <c r="H61" s="2"/>
    </row>
    <row r="62" spans="1:10" x14ac:dyDescent="0.25">
      <c r="H62" s="2"/>
    </row>
    <row r="63" spans="1:10" x14ac:dyDescent="0.25">
      <c r="H63" s="2"/>
    </row>
    <row r="64" spans="1:10" x14ac:dyDescent="0.25">
      <c r="H64" s="2"/>
    </row>
    <row r="65" spans="8:10" x14ac:dyDescent="0.25">
      <c r="H65" s="3"/>
    </row>
    <row r="66" spans="8:10" x14ac:dyDescent="0.25">
      <c r="H66" s="4"/>
    </row>
    <row r="68" spans="8:10" x14ac:dyDescent="0.25">
      <c r="J68" s="14"/>
    </row>
  </sheetData>
  <pageMargins left="0.70866141732283472" right="0.70866141732283472" top="0.74803149606299213" bottom="0.74803149606299213" header="0.31496062992125984" footer="0.31496062992125984"/>
  <pageSetup scale="9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fa5de54066baaf7da3cbcbb2969f38b7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85a4a4a45879d0d7e75f9bca1dd410ee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F38579-80D7-440E-A0A4-D7B26A9FE671}"/>
</file>

<file path=customXml/itemProps2.xml><?xml version="1.0" encoding="utf-8"?>
<ds:datastoreItem xmlns:ds="http://schemas.openxmlformats.org/officeDocument/2006/customXml" ds:itemID="{F0498811-02DE-4345-9A2D-096D55498D9C}"/>
</file>

<file path=customXml/itemProps3.xml><?xml version="1.0" encoding="utf-8"?>
<ds:datastoreItem xmlns:ds="http://schemas.openxmlformats.org/officeDocument/2006/customXml" ds:itemID="{F120AF09-FF4D-4DD7-9F71-E8845BB7D2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Esteban Ramirez Viquez</dc:creator>
  <cp:lastModifiedBy>Ricardo Adolfo Gonzalez Guerra</cp:lastModifiedBy>
  <cp:lastPrinted>2026-04-22T21:19:21Z</cp:lastPrinted>
  <dcterms:created xsi:type="dcterms:W3CDTF">2019-04-22T17:29:09Z</dcterms:created>
  <dcterms:modified xsi:type="dcterms:W3CDTF">2026-08-06T20:13:49Z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